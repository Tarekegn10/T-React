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Weekly Meal Planner" sheetId="2" r:id="rId1"/>
    <sheet name="Percapita" sheetId="3" r:id="rId2"/>
  </sheets>
  <definedNames>
    <definedName name="_xlnm.Print_Titles" localSheetId="0">'Weekly Meal Planner'!$2:$4</definedName>
    <definedName name="Title1">WeeklyMealPlanner[[#Headers],[Weekday]]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<sst xmlns="http://schemas.openxmlformats.org/spreadsheetml/2006/main" count="319" uniqueCount="128">
  <si>
    <t>Fri-EL Ethiopia Farming &amp; Processing PLC</t>
  </si>
  <si>
    <t>Main Canteen Meal Planner</t>
  </si>
  <si>
    <t>Number of Employees served</t>
  </si>
  <si>
    <t>Period of the service - August 2025</t>
  </si>
  <si>
    <t>Omorate Main Canteen</t>
  </si>
  <si>
    <t>Weekday</t>
  </si>
  <si>
    <t>Breakfast</t>
  </si>
  <si>
    <t>Snack</t>
  </si>
  <si>
    <t>Lunch</t>
  </si>
  <si>
    <t>Snack2</t>
  </si>
  <si>
    <t>Dinner</t>
  </si>
  <si>
    <t>Snack3</t>
  </si>
  <si>
    <t>Remark</t>
  </si>
  <si>
    <t>Sunday</t>
  </si>
  <si>
    <t>Rice with Bread &amp; Tea</t>
  </si>
  <si>
    <t>Fish stew with Enjera</t>
  </si>
  <si>
    <t>Macaroni Soup with Bread</t>
  </si>
  <si>
    <t>Banana</t>
  </si>
  <si>
    <t>Monday</t>
  </si>
  <si>
    <t>Macorroni with bread &amp; Tea</t>
  </si>
  <si>
    <t>Papaya Jiuce</t>
  </si>
  <si>
    <t>Meat Stew with Enjera</t>
  </si>
  <si>
    <t>Potato Stew + Moringa with Enjera</t>
  </si>
  <si>
    <t>Tuesday</t>
  </si>
  <si>
    <t>Injera Firfir with meat, Bread &amp; Tea</t>
  </si>
  <si>
    <t>Split peas stew + Cabage with Enjera</t>
  </si>
  <si>
    <t>Shiro + Alicha Kik with Enjera</t>
  </si>
  <si>
    <t>Wednesday</t>
  </si>
  <si>
    <t>Rice with Haricotbean, Bread &amp; Tea</t>
  </si>
  <si>
    <t>Split Lentil + Moringa with Enjera</t>
  </si>
  <si>
    <t>Pasta with tomatoe souce</t>
  </si>
  <si>
    <t>Thursday</t>
  </si>
  <si>
    <t>Kinche, Bread &amp; Tea</t>
  </si>
  <si>
    <t>Meat &amp; potato stew with Enjera</t>
  </si>
  <si>
    <t>Whole Lentil + Moringa with Enjera</t>
  </si>
  <si>
    <t>Friday</t>
  </si>
  <si>
    <t>Pasta with vegetables and tea</t>
  </si>
  <si>
    <t>Shiro + Gomen with Enjera</t>
  </si>
  <si>
    <t xml:space="preserve">Rice with potato </t>
  </si>
  <si>
    <t>Saturday</t>
  </si>
  <si>
    <t>Tomatoe sauce with bread and tea</t>
  </si>
  <si>
    <t>Whole lentil + Carrot/beetroot with Enjera</t>
  </si>
  <si>
    <t>Macoroni with bread</t>
  </si>
  <si>
    <t>Items</t>
  </si>
  <si>
    <t>U.o.M</t>
  </si>
  <si>
    <t>Total Quantity</t>
  </si>
  <si>
    <t>Unit Price</t>
  </si>
  <si>
    <t>Total Cost</t>
  </si>
  <si>
    <t>Rice</t>
  </si>
  <si>
    <t>Kg.</t>
  </si>
  <si>
    <t>Wheat Flour</t>
  </si>
  <si>
    <t>Teff Flour</t>
  </si>
  <si>
    <t>Fish meat</t>
  </si>
  <si>
    <t>Macaroni</t>
  </si>
  <si>
    <t>Oil</t>
  </si>
  <si>
    <t>Lt.</t>
  </si>
  <si>
    <t>Onion</t>
  </si>
  <si>
    <t>Salt</t>
  </si>
  <si>
    <t>Sugar</t>
  </si>
  <si>
    <t>Tea</t>
  </si>
  <si>
    <t>Pkt</t>
  </si>
  <si>
    <t xml:space="preserve">Meat </t>
  </si>
  <si>
    <t>Pepper</t>
  </si>
  <si>
    <t>Potato</t>
  </si>
  <si>
    <t>Moringa</t>
  </si>
  <si>
    <t>Esir</t>
  </si>
  <si>
    <t>Garlic</t>
  </si>
  <si>
    <t>Cabbage</t>
  </si>
  <si>
    <t>Peas</t>
  </si>
  <si>
    <t>Shiro</t>
  </si>
  <si>
    <t>Turmeric</t>
  </si>
  <si>
    <t>Haricotbean</t>
  </si>
  <si>
    <t>Pkt.</t>
  </si>
  <si>
    <t>Split Lentil</t>
  </si>
  <si>
    <t>Pasta</t>
  </si>
  <si>
    <t>Tomato</t>
  </si>
  <si>
    <t>Kinche</t>
  </si>
  <si>
    <t>Whole Lentil</t>
  </si>
  <si>
    <t>Meat</t>
  </si>
  <si>
    <t>Carrot</t>
  </si>
  <si>
    <t>Wheat floar</t>
  </si>
  <si>
    <t>Teff</t>
  </si>
  <si>
    <t>Beetroot</t>
  </si>
  <si>
    <t>Macoroni</t>
  </si>
  <si>
    <t>የነፍስ ወከፍ ፍላጎት ስሌት</t>
  </si>
  <si>
    <t>ተ.ቁ</t>
  </si>
  <si>
    <t>የዕቃዉ ዓይነት</t>
  </si>
  <si>
    <t>መለኪያ</t>
  </si>
  <si>
    <t>ለአንድ ሰው</t>
  </si>
  <si>
    <t>መለኪያ2</t>
  </si>
  <si>
    <t>ዋጋ</t>
  </si>
  <si>
    <t>አሳ</t>
  </si>
  <si>
    <t>ግራም</t>
  </si>
  <si>
    <t>ኪሎ</t>
  </si>
  <si>
    <t>ስጋ</t>
  </si>
  <si>
    <t>ፓሰታ</t>
  </si>
  <si>
    <t>1/2ኪ</t>
  </si>
  <si>
    <t>መኮረኒ</t>
  </si>
  <si>
    <t>ሩዝ</t>
  </si>
  <si>
    <t>"</t>
  </si>
  <si>
    <t>ቀይ ሽንኩርት</t>
  </si>
  <si>
    <t>ቲማቲም</t>
  </si>
  <si>
    <t>በርበሬ</t>
  </si>
  <si>
    <t>ዘይት</t>
  </si>
  <si>
    <t xml:space="preserve">ሚሊ </t>
  </si>
  <si>
    <t>ሊትር</t>
  </si>
  <si>
    <t>ነጭ ሽንኩርት</t>
  </si>
  <si>
    <t>ጤፍ</t>
  </si>
  <si>
    <t>ፉርኖ ዱቄት</t>
  </si>
  <si>
    <t>ስኳር</t>
  </si>
  <si>
    <t>አተር ክክ</t>
  </si>
  <si>
    <t>ሸሮ</t>
  </si>
  <si>
    <t xml:space="preserve">ድፍን ምስር </t>
  </si>
  <si>
    <t xml:space="preserve">እርድ </t>
  </si>
  <si>
    <t>ጨው</t>
  </si>
  <si>
    <t>አበሻ ጎመን</t>
  </si>
  <si>
    <t>እስር</t>
  </si>
  <si>
    <t>ጥቅል  ጎመን</t>
  </si>
  <si>
    <t>ድንች</t>
  </si>
  <si>
    <t>ቀይ ስር</t>
  </si>
  <si>
    <t>ካሮት</t>
  </si>
  <si>
    <t>ሻይ ቅጠል</t>
  </si>
  <si>
    <t>ፓኬት</t>
  </si>
  <si>
    <t>ሻይ ቅመም</t>
  </si>
  <si>
    <t>እሽግ</t>
  </si>
  <si>
    <t>ቦለቄ</t>
  </si>
  <si>
    <t>ቅንጬ</t>
  </si>
  <si>
    <t>ምስር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</si>
</sst>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[$-409]mmmm\ d\,\ yyyy;@"/>
    <numFmt numFmtId="178" formatCode="_(* #,##0.0000000_);_(* \(#,##0.0000000\);_(* &quot;-&quot;??_);_(@_)"/>
  </numFmts>
  <fonts count="28">
    <font>
      <sz val="12"/>
      <name val="Georgia"/>
      <charset val="134"/>
      <scheme val="minor"/>
    </font>
    <font>
      <sz val="11"/>
      <color theme="1"/>
      <name val="Georgia"/>
      <charset val="134"/>
      <scheme val="minor"/>
    </font>
    <font>
      <sz val="12"/>
      <color theme="1"/>
      <name val="Georgia"/>
      <charset val="134"/>
      <scheme val="minor"/>
    </font>
    <font>
      <sz val="22"/>
      <color theme="6"/>
      <name val="Georgia"/>
      <charset val="134"/>
      <scheme val="minor"/>
    </font>
    <font>
      <sz val="24"/>
      <color theme="6"/>
      <name val="Georgia"/>
      <charset val="134"/>
      <scheme val="minor"/>
    </font>
    <font>
      <sz val="12"/>
      <color theme="6" tint="-0.249946592608417"/>
      <name val="Georgia"/>
      <charset val="134"/>
      <scheme val="minor"/>
    </font>
    <font>
      <sz val="12"/>
      <color theme="0"/>
      <name val="Georgia"/>
      <charset val="134"/>
      <scheme val="minor"/>
    </font>
    <font>
      <sz val="12"/>
      <color theme="6" tint="-0.499984740745262"/>
      <name val="Georgia"/>
      <charset val="134"/>
      <scheme val="minor"/>
    </font>
    <font>
      <sz val="11"/>
      <color theme="1"/>
      <name val="Georgia"/>
      <charset val="134"/>
      <scheme val="minor"/>
    </font>
    <font>
      <u/>
      <sz val="11"/>
      <color rgb="FF0000FF"/>
      <name val="Georgia"/>
      <charset val="0"/>
      <scheme val="minor"/>
    </font>
    <font>
      <u/>
      <sz val="11"/>
      <color rgb="FF800080"/>
      <name val="Georgia"/>
      <charset val="0"/>
      <scheme val="minor"/>
    </font>
    <font>
      <sz val="11"/>
      <color rgb="FFFF0000"/>
      <name val="Georgia"/>
      <charset val="0"/>
      <scheme val="minor"/>
    </font>
    <font>
      <sz val="26"/>
      <color theme="1" tint="0.249946592608417"/>
      <name val="Georgia"/>
      <charset val="134"/>
      <scheme val="major"/>
    </font>
    <font>
      <i/>
      <sz val="11"/>
      <color rgb="FF7F7F7F"/>
      <name val="Georgia"/>
      <charset val="0"/>
      <scheme val="minor"/>
    </font>
    <font>
      <sz val="28"/>
      <color theme="5" tint="0.799981688894314"/>
      <name val="Georgia"/>
      <charset val="134"/>
      <scheme val="minor"/>
    </font>
    <font>
      <b/>
      <sz val="13"/>
      <color theme="3"/>
      <name val="Georgia"/>
      <charset val="134"/>
      <scheme val="minor"/>
    </font>
    <font>
      <b/>
      <sz val="11"/>
      <color theme="3"/>
      <name val="Georgia"/>
      <charset val="134"/>
      <scheme val="minor"/>
    </font>
    <font>
      <sz val="11"/>
      <color rgb="FF3F3F76"/>
      <name val="Georgia"/>
      <charset val="0"/>
      <scheme val="minor"/>
    </font>
    <font>
      <b/>
      <sz val="11"/>
      <color rgb="FF3F3F3F"/>
      <name val="Georgia"/>
      <charset val="0"/>
      <scheme val="minor"/>
    </font>
    <font>
      <b/>
      <sz val="11"/>
      <color rgb="FFFA7D00"/>
      <name val="Georgia"/>
      <charset val="0"/>
      <scheme val="minor"/>
    </font>
    <font>
      <b/>
      <sz val="11"/>
      <color rgb="FFFFFFFF"/>
      <name val="Georgia"/>
      <charset val="0"/>
      <scheme val="minor"/>
    </font>
    <font>
      <sz val="11"/>
      <color rgb="FFFA7D00"/>
      <name val="Georgia"/>
      <charset val="0"/>
      <scheme val="minor"/>
    </font>
    <font>
      <b/>
      <sz val="11"/>
      <color theme="1"/>
      <name val="Georgia"/>
      <charset val="0"/>
      <scheme val="minor"/>
    </font>
    <font>
      <sz val="11"/>
      <color rgb="FF006100"/>
      <name val="Georgia"/>
      <charset val="0"/>
      <scheme val="minor"/>
    </font>
    <font>
      <sz val="11"/>
      <color rgb="FF9C0006"/>
      <name val="Georgia"/>
      <charset val="0"/>
      <scheme val="minor"/>
    </font>
    <font>
      <sz val="11"/>
      <color rgb="FF9C6500"/>
      <name val="Georgia"/>
      <charset val="0"/>
      <scheme val="minor"/>
    </font>
    <font>
      <sz val="11"/>
      <color theme="0"/>
      <name val="Georgia"/>
      <charset val="0"/>
      <scheme val="minor"/>
    </font>
    <font>
      <sz val="11"/>
      <color theme="1"/>
      <name val="Georgia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horizontal="left" vertical="center" wrapText="1" indent="1"/>
    </xf>
    <xf numFmtId="43" fontId="0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Protection="0">
      <alignment horizontal="left" indent="1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Border="0" applyAlignment="0" applyProtection="0"/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/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43" fontId="1" fillId="0" borderId="0" applyFont="0" applyFill="0" applyBorder="0" applyAlignment="0" applyProtection="0"/>
    <xf numFmtId="177" fontId="0" fillId="0" borderId="0" applyFont="0" applyFill="0" applyBorder="0">
      <alignment horizontal="left" vertical="center" wrapText="1" indent="1"/>
    </xf>
    <xf numFmtId="0" fontId="1" fillId="0" borderId="0"/>
  </cellStyleXfs>
  <cellXfs count="35">
    <xf numFmtId="0" fontId="0" fillId="0" borderId="0" xfId="0">
      <alignment horizontal="left" vertical="center" wrapText="1" indent="1"/>
    </xf>
    <xf numFmtId="0" fontId="1" fillId="0" borderId="0" xfId="51" applyAlignment="1">
      <alignment horizontal="center" vertical="center"/>
    </xf>
    <xf numFmtId="0" fontId="1" fillId="0" borderId="0" xfId="51"/>
    <xf numFmtId="43" fontId="0" fillId="0" borderId="0" xfId="49" applyFont="1"/>
    <xf numFmtId="0" fontId="2" fillId="0" borderId="0" xfId="51" applyFont="1" applyAlignment="1">
      <alignment horizontal="centerContinuous"/>
    </xf>
    <xf numFmtId="0" fontId="1" fillId="0" borderId="0" xfId="51" applyAlignment="1">
      <alignment horizontal="centerContinuous"/>
    </xf>
    <xf numFmtId="43" fontId="0" fillId="0" borderId="0" xfId="49" applyFont="1" applyFill="1" applyAlignment="1">
      <alignment horizontal="centerContinuous"/>
    </xf>
    <xf numFmtId="0" fontId="1" fillId="0" borderId="0" xfId="51" applyAlignment="1">
      <alignment horizontal="centerContinuous" vertical="center"/>
    </xf>
    <xf numFmtId="43" fontId="0" fillId="0" borderId="0" xfId="49" applyFont="1" applyFill="1" applyAlignment="1">
      <alignment horizontal="center" vertical="center"/>
    </xf>
    <xf numFmtId="0" fontId="1" fillId="0" borderId="0" xfId="51" applyAlignment="1">
      <alignment horizontal="center"/>
    </xf>
    <xf numFmtId="43" fontId="0" fillId="0" borderId="0" xfId="49" applyFont="1" applyFill="1"/>
    <xf numFmtId="43" fontId="1" fillId="0" borderId="0" xfId="51" applyNumberFormat="1" applyAlignment="1">
      <alignment horizontal="center" vertical="center"/>
    </xf>
    <xf numFmtId="43" fontId="1" fillId="0" borderId="0" xfId="51" applyNumberFormat="1"/>
    <xf numFmtId="0" fontId="1" fillId="2" borderId="0" xfId="51" applyFill="1"/>
    <xf numFmtId="178" fontId="0" fillId="0" borderId="0" xfId="49" applyNumberFormat="1" applyFont="1"/>
    <xf numFmtId="0" fontId="1" fillId="0" borderId="0" xfId="51" applyFont="1"/>
    <xf numFmtId="0" fontId="1" fillId="0" borderId="0" xfId="51" applyFont="1" applyAlignment="1">
      <alignment horizontal="center"/>
    </xf>
    <xf numFmtId="0" fontId="1" fillId="0" borderId="0" xfId="51" applyFill="1"/>
    <xf numFmtId="0" fontId="1" fillId="0" borderId="0" xfId="51" applyFont="1" applyFill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right" vertical="top" wrapText="1"/>
    </xf>
    <xf numFmtId="0" fontId="4" fillId="0" borderId="0" xfId="12" applyFont="1" applyFill="1" applyBorder="1" applyAlignment="1">
      <alignment horizontal="center" vertical="center"/>
    </xf>
    <xf numFmtId="177" fontId="5" fillId="0" borderId="0" xfId="3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6" fillId="0" borderId="0" xfId="0" applyFont="1">
      <alignment horizontal="left" vertical="center" wrapText="1" inden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 indent="1"/>
    </xf>
    <xf numFmtId="43" fontId="0" fillId="0" borderId="0" xfId="1" applyFont="1" applyAlignment="1">
      <alignment horizontal="center" vertical="center" wrapText="1"/>
    </xf>
    <xf numFmtId="0" fontId="0" fillId="0" borderId="0" xfId="0" applyAlignment="1">
      <alignment horizontal="left" wrapText="1" indent="1"/>
    </xf>
    <xf numFmtId="43" fontId="0" fillId="0" borderId="0" xfId="1" applyFont="1" applyAlignment="1">
      <alignment horizontal="left" vertical="center" wrapText="1" inden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Date" xfId="50"/>
    <cellStyle name="Normal 2" xfId="51"/>
  </cellStyles>
  <dxfs count="16">
    <dxf>
      <font>
        <name val="Georgia"/>
        <scheme val="none"/>
        <family val="1"/>
        <b val="0"/>
        <i val="0"/>
        <strike val="0"/>
        <u val="none"/>
        <sz val="12"/>
        <color theme="6" tint="-0.249946592608417"/>
      </font>
      <fill>
        <patternFill patternType="none"/>
      </fill>
      <alignment horizontal="left" vertical="center" indent="1"/>
    </dxf>
    <dxf>
      <fill>
        <patternFill patternType="none"/>
      </fill>
      <alignment horizontal="left" vertical="center" indent="1"/>
    </dxf>
    <dxf>
      <alignment horizontal="center" vertical="center"/>
    </dxf>
    <dxf>
      <fill>
        <patternFill patternType="none"/>
      </fill>
      <alignment horizontal="left" vertical="center" indent="1"/>
    </dxf>
    <dxf>
      <alignment horizontal="left" vertical="center" indent="1"/>
    </dxf>
    <dxf>
      <fill>
        <patternFill patternType="none"/>
      </fill>
      <alignment horizontal="left" vertical="center" indent="1"/>
    </dxf>
    <dxf>
      <alignment horizontal="left" vertical="center"/>
    </dxf>
    <dxf>
      <fill>
        <patternFill patternType="none"/>
      </fill>
      <alignment horizontal="left" vertical="center" indent="1"/>
    </dxf>
    <dxf>
      <alignment horizontal="center"/>
    </dxf>
    <dxf>
      <font>
        <name val="Georgia"/>
        <scheme val="none"/>
        <family val="1"/>
        <b val="0"/>
        <i val="0"/>
        <strike val="0"/>
        <u val="none"/>
        <sz val="12"/>
        <color auto="1"/>
      </font>
    </dxf>
    <dxf>
      <alignment horizontal="center" vertical="center"/>
    </dxf>
    <dxf>
      <fill>
        <patternFill patternType="none"/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fill>
        <patternFill patternType="solid">
          <bgColor theme="5" tint="0.799981688894314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fill>
        <patternFill patternType="solid">
          <bgColor theme="5" tint="0.399945066682943"/>
        </patternFill>
      </fill>
    </dxf>
    <dxf>
      <fill>
        <patternFill patternType="solid"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color theme="3"/>
      </font>
      <border>
        <left style="thin">
          <color auto="1"/>
        </left>
        <right style="thin">
          <color auto="1"/>
        </right>
        <top style="thin">
          <color auto="1"/>
        </top>
      </border>
    </dxf>
  </dxfs>
  <tableStyles count="1" defaultTableStyle="Weekly Meal Planner" defaultPivotStyle="PivotStyleLight16">
    <tableStyle name="Weekly Meal Planner" pivot="0" count="5" xr9:uid="{2370ADFF-602A-46A8-BC8F-0049A16F328C}">
      <tableStyleElement type="wholeTable" dxfId="15"/>
      <tableStyleElement type="headerRow" dxfId="14"/>
      <tableStyleElement type="firstColumn" dxfId="13"/>
      <tableStyleElement type="firstRowStripe" dxfId="12"/>
      <tableStyleElement type="secondRow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4F1F8"/>
      <rgbColor rgb="00EEF8FC"/>
      <rgbColor rgb="00FFFF99"/>
      <rgbColor rgb="00ABDCED"/>
      <rgbColor rgb="00F5F0DD"/>
      <rgbColor rgb="007DBDE1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WeeklyMealPlanner" displayName="WeeklyMealPlanner" ref="B4:I11" totalsRowShown="0">
  <autoFilter xmlns:etc="http://www.wps.cn/officeDocument/2017/etCustomData" ref="B4:I11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Weekday" dataDxfId="0"/>
    <tableColumn id="2" name="Breakfast" dataDxfId="1"/>
    <tableColumn id="5" name="Snack" dataDxfId="2"/>
    <tableColumn id="3" name="Lunch" dataDxfId="3"/>
    <tableColumn id="6" name="Snack2" dataDxfId="4"/>
    <tableColumn id="4" name="Dinner" dataDxfId="5"/>
    <tableColumn id="8" name="Snack3" dataDxfId="6"/>
    <tableColumn id="7" name="Remark" dataDxfId="7"/>
  </tableColumns>
  <tableStyleInfo name="Weekly Meal Planner" showFirstColumn="1" showLastColumn="0" showRowStripes="1" showColumnStripes="1"/>
</table>
</file>

<file path=xl/tables/table2.xml><?xml version="1.0" encoding="utf-8"?>
<table xmlns="http://schemas.openxmlformats.org/spreadsheetml/2006/main" id="1" name="Table1" displayName="Table1" ref="A2:F30" totalsRowShown="0">
  <autoFilter xmlns:etc="http://www.wps.cn/officeDocument/2017/etCustomData" ref="A2:F30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ተ.ቁ"/>
    <tableColumn id="2" name="የዕቃዉ ዓይነት"/>
    <tableColumn id="3" name="መለኪያ" dataDxfId="8"/>
    <tableColumn id="4" name="ለአንድ ሰው" dataDxfId="9"/>
    <tableColumn id="5" name="መለኪያ2" dataDxfId="10"/>
    <tableColumn id="6" name="ዋጋ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f16400197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645E2E"/>
      </a:accent1>
      <a:accent2>
        <a:srgbClr val="91B259"/>
      </a:accent2>
      <a:accent3>
        <a:srgbClr val="51672B"/>
      </a:accent3>
      <a:accent4>
        <a:srgbClr val="E7F0F6"/>
      </a:accent4>
      <a:accent5>
        <a:srgbClr val="BBD0E9"/>
      </a:accent5>
      <a:accent6>
        <a:srgbClr val="F5F6CB"/>
      </a:accent6>
      <a:hlink>
        <a:srgbClr val="0563C1"/>
      </a:hlink>
      <a:folHlink>
        <a:srgbClr val="954F72"/>
      </a:folHlink>
    </a:clrScheme>
    <a:fontScheme name="Georgia">
      <a:majorFont>
        <a:latin typeface="Georgia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eorgia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/>
    <pageSetUpPr fitToPage="1"/>
  </sheetPr>
  <dimension ref="A1:N115"/>
  <sheetViews>
    <sheetView showGridLines="0" tabSelected="1" workbookViewId="0">
      <pane xSplit="1" ySplit="11" topLeftCell="B112" activePane="bottomRight" state="frozen"/>
      <selection/>
      <selection pane="topRight"/>
      <selection pane="bottomLeft"/>
      <selection pane="bottomRight" activeCell="G98" sqref="G98:G108"/>
    </sheetView>
  </sheetViews>
  <sheetFormatPr defaultColWidth="8.70138888888889" defaultRowHeight="30" customHeight="1"/>
  <cols>
    <col min="1" max="1" width="1.39583333333333" customWidth="1"/>
    <col min="2" max="2" width="10.2986111111111" customWidth="1"/>
    <col min="3" max="3" width="28" customWidth="1"/>
    <col min="4" max="4" width="10.0972222222222" style="20" customWidth="1"/>
    <col min="5" max="5" width="32.5972222222222" customWidth="1"/>
    <col min="6" max="6" width="10.0972222222222" customWidth="1"/>
    <col min="7" max="7" width="27.2013888888889" customWidth="1"/>
    <col min="8" max="8" width="7.20138888888889" customWidth="1"/>
    <col min="9" max="9" width="7.79861111111111" customWidth="1"/>
    <col min="10" max="10" width="2.70138888888889" customWidth="1"/>
    <col min="13" max="13" width="13.7013888888889" customWidth="1"/>
  </cols>
  <sheetData>
    <row r="1" ht="27.75" customHeight="1" spans="2:9">
      <c r="B1" s="21" t="s">
        <v>0</v>
      </c>
      <c r="C1" s="21"/>
      <c r="D1" s="21"/>
      <c r="E1" s="21"/>
      <c r="F1" s="21"/>
      <c r="G1" s="21"/>
      <c r="H1" s="21"/>
      <c r="I1" s="21"/>
    </row>
    <row r="2" ht="26.25" customHeight="1" spans="1:9">
      <c r="A2" s="22"/>
      <c r="B2" s="23" t="s">
        <v>1</v>
      </c>
      <c r="C2" s="23"/>
      <c r="D2" s="23"/>
      <c r="E2" s="23"/>
      <c r="F2" s="23"/>
      <c r="G2" s="23"/>
      <c r="H2" s="23"/>
      <c r="I2" s="23"/>
    </row>
    <row r="3" ht="24" customHeight="1" spans="2:9">
      <c r="B3" s="24"/>
      <c r="C3" s="25" t="s">
        <v>2</v>
      </c>
      <c r="D3" s="20">
        <v>153</v>
      </c>
      <c r="E3" s="25" t="s">
        <v>3</v>
      </c>
      <c r="F3" s="25"/>
      <c r="G3" s="25" t="s">
        <v>4</v>
      </c>
      <c r="H3" s="25"/>
      <c r="I3" s="25"/>
    </row>
    <row r="4" customHeight="1" spans="2:9">
      <c r="B4" s="26" t="s">
        <v>5</v>
      </c>
      <c r="C4" s="26" t="s">
        <v>6</v>
      </c>
      <c r="D4" s="27" t="s">
        <v>7</v>
      </c>
      <c r="E4" s="26" t="s">
        <v>8</v>
      </c>
      <c r="F4" s="26" t="s">
        <v>9</v>
      </c>
      <c r="G4" s="26" t="s">
        <v>10</v>
      </c>
      <c r="H4" s="26" t="s">
        <v>11</v>
      </c>
      <c r="I4" s="26" t="s">
        <v>12</v>
      </c>
    </row>
    <row r="5" s="19" customFormat="1" ht="15.6" spans="2:8">
      <c r="B5" s="28" t="s">
        <v>13</v>
      </c>
      <c r="C5" s="19" t="s">
        <v>14</v>
      </c>
      <c r="D5" s="29"/>
      <c r="E5" s="19" t="s">
        <v>15</v>
      </c>
      <c r="G5" s="19" t="s">
        <v>16</v>
      </c>
      <c r="H5" s="30" t="s">
        <v>17</v>
      </c>
    </row>
    <row r="6" s="19" customFormat="1" ht="15.6" spans="2:8">
      <c r="B6" s="28" t="s">
        <v>18</v>
      </c>
      <c r="C6" s="19" t="s">
        <v>19</v>
      </c>
      <c r="D6" s="29" t="s">
        <v>20</v>
      </c>
      <c r="E6" s="19" t="s">
        <v>21</v>
      </c>
      <c r="G6" s="19" t="s">
        <v>22</v>
      </c>
      <c r="H6" s="30"/>
    </row>
    <row r="7" s="19" customFormat="1" ht="15.6" spans="2:8">
      <c r="B7" s="28" t="s">
        <v>23</v>
      </c>
      <c r="C7" s="19" t="s">
        <v>24</v>
      </c>
      <c r="D7" s="29"/>
      <c r="E7" s="19" t="s">
        <v>25</v>
      </c>
      <c r="F7" s="30" t="s">
        <v>17</v>
      </c>
      <c r="G7" s="19" t="s">
        <v>26</v>
      </c>
      <c r="H7" s="30"/>
    </row>
    <row r="8" s="19" customFormat="1" ht="15.6" spans="2:8">
      <c r="B8" s="28" t="s">
        <v>27</v>
      </c>
      <c r="C8" s="19" t="s">
        <v>28</v>
      </c>
      <c r="D8" s="29"/>
      <c r="E8" s="19" t="s">
        <v>29</v>
      </c>
      <c r="G8" s="19" t="s">
        <v>30</v>
      </c>
      <c r="H8" s="30"/>
    </row>
    <row r="9" s="19" customFormat="1" ht="15.6" spans="2:8">
      <c r="B9" s="28" t="s">
        <v>31</v>
      </c>
      <c r="C9" s="19" t="s">
        <v>32</v>
      </c>
      <c r="D9" s="29"/>
      <c r="E9" s="19" t="s">
        <v>33</v>
      </c>
      <c r="G9" s="19" t="s">
        <v>34</v>
      </c>
      <c r="H9" s="30"/>
    </row>
    <row r="10" s="19" customFormat="1" ht="15.6" spans="2:8">
      <c r="B10" s="28" t="s">
        <v>35</v>
      </c>
      <c r="C10" s="19" t="s">
        <v>36</v>
      </c>
      <c r="D10" s="29" t="s">
        <v>20</v>
      </c>
      <c r="E10" s="19" t="s">
        <v>37</v>
      </c>
      <c r="F10" s="30" t="s">
        <v>20</v>
      </c>
      <c r="G10" s="19" t="s">
        <v>38</v>
      </c>
      <c r="H10" s="30"/>
    </row>
    <row r="11" s="19" customFormat="1" ht="15.6" spans="2:8">
      <c r="B11" s="28" t="s">
        <v>39</v>
      </c>
      <c r="C11" s="19" t="s">
        <v>40</v>
      </c>
      <c r="D11" s="29"/>
      <c r="E11" s="19" t="s">
        <v>41</v>
      </c>
      <c r="G11" s="19" t="s">
        <v>42</v>
      </c>
      <c r="H11" s="30"/>
    </row>
    <row r="12" ht="15.6" spans="14:14">
      <c r="N12" s="33"/>
    </row>
    <row r="13" ht="15.6"/>
    <row r="14" ht="15.6" spans="2:7">
      <c r="B14" t="s">
        <v>13</v>
      </c>
      <c r="C14" t="s">
        <v>43</v>
      </c>
      <c r="D14" s="20" t="s">
        <v>44</v>
      </c>
      <c r="E14" s="31" t="s">
        <v>45</v>
      </c>
      <c r="F14" t="s">
        <v>46</v>
      </c>
      <c r="G14" s="31" t="s">
        <v>47</v>
      </c>
    </row>
    <row r="15" ht="15.6" spans="3:7">
      <c r="C15" t="s">
        <v>48</v>
      </c>
      <c r="D15" s="20" t="s">
        <v>49</v>
      </c>
      <c r="E15" s="32">
        <f>(D3*Percapita!D7)/1000</f>
        <v>30.6</v>
      </c>
      <c r="F15" s="32">
        <v>140</v>
      </c>
      <c r="G15" s="32">
        <f>E15*F15</f>
        <v>4284</v>
      </c>
    </row>
    <row r="16" ht="15.6" spans="3:7">
      <c r="C16" t="s">
        <v>50</v>
      </c>
      <c r="D16" s="20" t="s">
        <v>49</v>
      </c>
      <c r="E16" s="32">
        <f>((D3*Percapita!D14)/1000)*2</f>
        <v>30.6</v>
      </c>
      <c r="F16" s="32">
        <v>120</v>
      </c>
      <c r="G16" s="32">
        <f t="shared" ref="G16:G21" si="0">E16*F16</f>
        <v>3672</v>
      </c>
    </row>
    <row r="17" ht="15.6" spans="3:7">
      <c r="C17" t="s">
        <v>51</v>
      </c>
      <c r="D17" s="20" t="s">
        <v>49</v>
      </c>
      <c r="E17" s="32">
        <f>(D3*Percapita!D13)/1000</f>
        <v>25.5</v>
      </c>
      <c r="F17" s="32">
        <v>120</v>
      </c>
      <c r="G17" s="32">
        <f t="shared" si="0"/>
        <v>3060</v>
      </c>
    </row>
    <row r="18" ht="15.6" spans="3:7">
      <c r="C18" t="s">
        <v>52</v>
      </c>
      <c r="D18" s="20" t="s">
        <v>49</v>
      </c>
      <c r="E18" s="32">
        <f>(D3*Percapita!D3)/1000</f>
        <v>30.6</v>
      </c>
      <c r="F18" s="32">
        <v>400</v>
      </c>
      <c r="G18" s="32">
        <f t="shared" si="0"/>
        <v>12240</v>
      </c>
    </row>
    <row r="19" ht="15.6" spans="3:7">
      <c r="C19" t="s">
        <v>53</v>
      </c>
      <c r="D19" s="20" t="s">
        <v>49</v>
      </c>
      <c r="E19" s="32">
        <f>(D3*Percapita!D6)/1000</f>
        <v>51</v>
      </c>
      <c r="F19" s="32">
        <v>140</v>
      </c>
      <c r="G19" s="32">
        <f t="shared" si="0"/>
        <v>7140</v>
      </c>
    </row>
    <row r="20" ht="15.6" spans="3:7">
      <c r="C20" t="s">
        <v>54</v>
      </c>
      <c r="D20" s="20" t="s">
        <v>55</v>
      </c>
      <c r="E20" s="32">
        <f>((D3*Percapita!D11)/1000)*3</f>
        <v>11.475</v>
      </c>
      <c r="F20" s="32">
        <v>340</v>
      </c>
      <c r="G20" s="32">
        <f t="shared" si="0"/>
        <v>3901.5</v>
      </c>
    </row>
    <row r="21" ht="15.6" spans="3:7">
      <c r="C21" t="s">
        <v>56</v>
      </c>
      <c r="D21" s="20" t="s">
        <v>49</v>
      </c>
      <c r="E21" s="32">
        <f>((D3*Percapita!D8)/1000)*3</f>
        <v>11.475</v>
      </c>
      <c r="F21" s="32">
        <f>Percapita!F8</f>
        <v>100</v>
      </c>
      <c r="G21" s="32">
        <f t="shared" si="0"/>
        <v>1147.5</v>
      </c>
    </row>
    <row r="22" ht="15.6" spans="3:7">
      <c r="C22" t="s">
        <v>57</v>
      </c>
      <c r="D22" s="20" t="s">
        <v>49</v>
      </c>
      <c r="E22" s="32">
        <f>((D3*Percapita!D20)/1000)*3</f>
        <v>0.2295</v>
      </c>
      <c r="F22" s="32">
        <f>Percapita!F20</f>
        <v>50</v>
      </c>
      <c r="G22" s="32">
        <f t="shared" ref="G22:G24" si="1">E22*F22</f>
        <v>11.475</v>
      </c>
    </row>
    <row r="23" ht="15.6" spans="3:7">
      <c r="C23" t="s">
        <v>58</v>
      </c>
      <c r="D23" s="20" t="s">
        <v>49</v>
      </c>
      <c r="E23" s="32">
        <f>(D3*Percapita!D15)/1000</f>
        <v>2.295</v>
      </c>
      <c r="F23" s="32">
        <f>Percapita!F15</f>
        <v>160</v>
      </c>
      <c r="G23" s="32">
        <f t="shared" si="1"/>
        <v>367.2</v>
      </c>
    </row>
    <row r="24" ht="15.6" spans="3:7">
      <c r="C24" t="s">
        <v>59</v>
      </c>
      <c r="D24" s="20" t="s">
        <v>60</v>
      </c>
      <c r="E24" s="32">
        <f>(D3*Percapita!D26)</f>
        <v>1.224</v>
      </c>
      <c r="F24" s="32">
        <f>Percapita!F26</f>
        <v>35</v>
      </c>
      <c r="G24" s="32">
        <f t="shared" si="1"/>
        <v>42.84</v>
      </c>
    </row>
    <row r="25" ht="15.6" spans="5:7">
      <c r="E25" s="32"/>
      <c r="F25" s="32"/>
      <c r="G25" s="32"/>
    </row>
    <row r="26" ht="15.6" spans="5:7">
      <c r="E26" s="32"/>
      <c r="F26" s="32"/>
      <c r="G26" s="32"/>
    </row>
    <row r="27" ht="15.6" spans="2:7">
      <c r="B27" t="s">
        <v>18</v>
      </c>
      <c r="C27" t="s">
        <v>53</v>
      </c>
      <c r="D27" s="20" t="s">
        <v>49</v>
      </c>
      <c r="E27" s="32">
        <f>(D3*Percapita!D6)/1000</f>
        <v>51</v>
      </c>
      <c r="F27" s="32">
        <f>+F19</f>
        <v>140</v>
      </c>
      <c r="G27" s="32">
        <f t="shared" ref="G27:G69" si="2">E27*F27</f>
        <v>7140</v>
      </c>
    </row>
    <row r="28" ht="15.6" spans="3:7">
      <c r="C28" t="s">
        <v>50</v>
      </c>
      <c r="D28" s="20" t="s">
        <v>49</v>
      </c>
      <c r="E28" s="32">
        <f>(D3*Percapita!D14)/1000</f>
        <v>15.3</v>
      </c>
      <c r="F28" s="32">
        <f>+Percapita!F14</f>
        <v>120</v>
      </c>
      <c r="G28" s="32">
        <f t="shared" si="2"/>
        <v>1836</v>
      </c>
    </row>
    <row r="29" ht="15.6" spans="3:7">
      <c r="C29" t="s">
        <v>51</v>
      </c>
      <c r="D29" s="20" t="s">
        <v>49</v>
      </c>
      <c r="E29" s="32">
        <f>((D3*Percapita!D13)/1000)*2</f>
        <v>51</v>
      </c>
      <c r="F29" s="32">
        <f>+Percapita!F13</f>
        <v>120</v>
      </c>
      <c r="G29" s="32">
        <f t="shared" si="2"/>
        <v>6120</v>
      </c>
    </row>
    <row r="30" ht="15.6" spans="3:7">
      <c r="C30" t="s">
        <v>61</v>
      </c>
      <c r="D30" s="20" t="s">
        <v>49</v>
      </c>
      <c r="E30" s="32">
        <f>(D3*Percapita!D4)/1000</f>
        <v>30.6</v>
      </c>
      <c r="F30" s="32">
        <f>+Percapita!F4</f>
        <v>1200</v>
      </c>
      <c r="G30" s="32">
        <f t="shared" si="2"/>
        <v>36720</v>
      </c>
    </row>
    <row r="31" ht="15.6" spans="3:7">
      <c r="C31" t="s">
        <v>54</v>
      </c>
      <c r="D31" s="20" t="s">
        <v>55</v>
      </c>
      <c r="E31" s="32">
        <f>((D3*Percapita!D11/1000)*3)</f>
        <v>11.475</v>
      </c>
      <c r="F31" s="32">
        <f>+Percapita!F11</f>
        <v>340</v>
      </c>
      <c r="G31" s="32">
        <f t="shared" si="2"/>
        <v>3901.5</v>
      </c>
    </row>
    <row r="32" ht="15.6" spans="3:7">
      <c r="C32" t="s">
        <v>56</v>
      </c>
      <c r="D32" s="20" t="s">
        <v>49</v>
      </c>
      <c r="E32" s="32">
        <f>((D3*Percapita!D8)/1000)*3</f>
        <v>11.475</v>
      </c>
      <c r="F32" s="32">
        <f>+Percapita!F8</f>
        <v>100</v>
      </c>
      <c r="G32" s="32">
        <f t="shared" si="2"/>
        <v>1147.5</v>
      </c>
    </row>
    <row r="33" ht="15.6" spans="3:7">
      <c r="C33" t="s">
        <v>57</v>
      </c>
      <c r="D33" s="20" t="s">
        <v>49</v>
      </c>
      <c r="E33" s="32">
        <f>((Percapita!D20*'Weekly Meal Planner'!D3)/1000)*3</f>
        <v>0.2295</v>
      </c>
      <c r="F33" s="32">
        <f>+Percapita!F20</f>
        <v>50</v>
      </c>
      <c r="G33" s="32">
        <f t="shared" si="2"/>
        <v>11.475</v>
      </c>
    </row>
    <row r="34" ht="15.6" spans="3:13">
      <c r="C34" t="s">
        <v>58</v>
      </c>
      <c r="D34" s="20" t="s">
        <v>49</v>
      </c>
      <c r="E34" s="32">
        <f>(D3*Percapita!D15)/1000</f>
        <v>2.295</v>
      </c>
      <c r="F34" s="32">
        <f>+Percapita!F15</f>
        <v>160</v>
      </c>
      <c r="G34" s="32">
        <f t="shared" si="2"/>
        <v>367.2</v>
      </c>
      <c r="M34" s="34"/>
    </row>
    <row r="35" ht="15.6" spans="3:7">
      <c r="C35" t="s">
        <v>59</v>
      </c>
      <c r="D35" s="20" t="s">
        <v>60</v>
      </c>
      <c r="E35" s="32">
        <f>(D3*Percapita!D26)</f>
        <v>1.224</v>
      </c>
      <c r="F35" s="32">
        <f>+Percapita!F26</f>
        <v>35</v>
      </c>
      <c r="G35" s="32">
        <f t="shared" si="2"/>
        <v>42.84</v>
      </c>
    </row>
    <row r="36" ht="15.6" spans="3:7">
      <c r="C36" t="s">
        <v>62</v>
      </c>
      <c r="D36" s="20" t="s">
        <v>49</v>
      </c>
      <c r="E36" s="32">
        <f>((D3*Percapita!D10)/1000)*2</f>
        <v>3.825</v>
      </c>
      <c r="F36" s="32">
        <f>+Percapita!F10</f>
        <v>680</v>
      </c>
      <c r="G36" s="32">
        <f t="shared" si="2"/>
        <v>2601</v>
      </c>
    </row>
    <row r="37" ht="15.6" spans="3:7">
      <c r="C37" t="s">
        <v>63</v>
      </c>
      <c r="D37" s="20" t="s">
        <v>49</v>
      </c>
      <c r="E37" s="32">
        <f>(D3*Percapita!D23)/1000</f>
        <v>15.3</v>
      </c>
      <c r="F37" s="32">
        <f>+Percapita!F23</f>
        <v>50</v>
      </c>
      <c r="G37" s="32">
        <f t="shared" si="2"/>
        <v>765</v>
      </c>
    </row>
    <row r="38" ht="15.6" spans="3:7">
      <c r="C38" t="s">
        <v>64</v>
      </c>
      <c r="D38" s="20" t="s">
        <v>65</v>
      </c>
      <c r="E38" s="32">
        <f>(Percapita!H24*0)</f>
        <v>0</v>
      </c>
      <c r="F38" s="32"/>
      <c r="G38" s="32">
        <f t="shared" si="2"/>
        <v>0</v>
      </c>
    </row>
    <row r="39" ht="15.6" spans="3:7">
      <c r="C39" t="s">
        <v>66</v>
      </c>
      <c r="D39" s="20" t="s">
        <v>49</v>
      </c>
      <c r="E39" s="32">
        <f>((D3*Percapita!D12)/1000)*2</f>
        <v>1.36</v>
      </c>
      <c r="F39" s="32">
        <f>+Percapita!F12</f>
        <v>400</v>
      </c>
      <c r="G39" s="32">
        <f t="shared" si="2"/>
        <v>544</v>
      </c>
    </row>
    <row r="40" ht="15.6" spans="5:7">
      <c r="E40" s="32"/>
      <c r="F40" s="32"/>
      <c r="G40" s="32"/>
    </row>
    <row r="41" ht="15.6" spans="2:7">
      <c r="B41" t="s">
        <v>23</v>
      </c>
      <c r="C41" t="s">
        <v>50</v>
      </c>
      <c r="D41" s="20" t="s">
        <v>49</v>
      </c>
      <c r="E41" s="32">
        <f>(D3*Percapita!D14)/1000</f>
        <v>15.3</v>
      </c>
      <c r="F41" s="32">
        <f>+Percapita!F14</f>
        <v>120</v>
      </c>
      <c r="G41" s="32">
        <f t="shared" si="2"/>
        <v>1836</v>
      </c>
    </row>
    <row r="42" ht="15.6" spans="3:7">
      <c r="C42" t="s">
        <v>51</v>
      </c>
      <c r="D42" s="20" t="s">
        <v>49</v>
      </c>
      <c r="E42" s="32">
        <f>((D3*Percapita!D13)/1000)*3</f>
        <v>76.5</v>
      </c>
      <c r="F42" s="32">
        <f>+Percapita!F13</f>
        <v>120</v>
      </c>
      <c r="G42" s="32">
        <f t="shared" si="2"/>
        <v>9180</v>
      </c>
    </row>
    <row r="43" ht="15.6" spans="3:7">
      <c r="C43" t="s">
        <v>61</v>
      </c>
      <c r="D43" s="20" t="s">
        <v>49</v>
      </c>
      <c r="E43" s="32">
        <f>(D3*Percapita!D4)/1000/2</f>
        <v>15.3</v>
      </c>
      <c r="F43" s="32">
        <f>+Percapita!F4</f>
        <v>1200</v>
      </c>
      <c r="G43" s="32">
        <f t="shared" si="2"/>
        <v>18360</v>
      </c>
    </row>
    <row r="44" ht="15.6" spans="3:7">
      <c r="C44" t="s">
        <v>54</v>
      </c>
      <c r="D44" s="20" t="s">
        <v>55</v>
      </c>
      <c r="E44" s="32">
        <f>((D3*Percapita!D11)/1000)*3</f>
        <v>11.475</v>
      </c>
      <c r="F44" s="32">
        <f>+Percapita!F11</f>
        <v>340</v>
      </c>
      <c r="G44" s="32">
        <f t="shared" si="2"/>
        <v>3901.5</v>
      </c>
    </row>
    <row r="45" ht="15.6" spans="3:7">
      <c r="C45" t="s">
        <v>56</v>
      </c>
      <c r="D45" s="20" t="s">
        <v>49</v>
      </c>
      <c r="E45" s="32">
        <f>((D3*Percapita!D8)/1000)*5</f>
        <v>19.125</v>
      </c>
      <c r="F45" s="32">
        <f>+Percapita!F8</f>
        <v>100</v>
      </c>
      <c r="G45" s="32">
        <f t="shared" si="2"/>
        <v>1912.5</v>
      </c>
    </row>
    <row r="46" ht="15.6" spans="3:7">
      <c r="C46" t="s">
        <v>57</v>
      </c>
      <c r="D46" s="20" t="s">
        <v>49</v>
      </c>
      <c r="E46" s="32">
        <f>((D3*Percapita!D20)/1000)*5</f>
        <v>0.3825</v>
      </c>
      <c r="F46" s="32">
        <f>+Percapita!F20</f>
        <v>50</v>
      </c>
      <c r="G46" s="32">
        <f t="shared" si="2"/>
        <v>19.125</v>
      </c>
    </row>
    <row r="47" ht="15.6" spans="3:7">
      <c r="C47" t="s">
        <v>58</v>
      </c>
      <c r="D47" s="20" t="s">
        <v>49</v>
      </c>
      <c r="E47" s="32">
        <f>(D3*Percapita!D15)/1000</f>
        <v>2.295</v>
      </c>
      <c r="F47" s="32">
        <f>+Percapita!F15</f>
        <v>160</v>
      </c>
      <c r="G47" s="32">
        <f t="shared" si="2"/>
        <v>367.2</v>
      </c>
    </row>
    <row r="48" ht="15.6" spans="3:7">
      <c r="C48" t="s">
        <v>59</v>
      </c>
      <c r="D48" s="20" t="s">
        <v>60</v>
      </c>
      <c r="E48" s="32">
        <f>(D3*Percapita!D26)</f>
        <v>1.224</v>
      </c>
      <c r="F48" s="32">
        <f>+Percapita!F26</f>
        <v>35</v>
      </c>
      <c r="G48" s="32">
        <f t="shared" si="2"/>
        <v>42.84</v>
      </c>
    </row>
    <row r="49" ht="15.6" spans="3:7">
      <c r="C49" t="s">
        <v>62</v>
      </c>
      <c r="D49" s="20" t="s">
        <v>49</v>
      </c>
      <c r="E49" s="32">
        <f>((D3*Percapita!D10)/1000)*3</f>
        <v>5.7375</v>
      </c>
      <c r="F49" s="32">
        <f>+Percapita!F10</f>
        <v>680</v>
      </c>
      <c r="G49" s="32">
        <f t="shared" si="2"/>
        <v>3901.5</v>
      </c>
    </row>
    <row r="50" ht="15.6" spans="3:7">
      <c r="C50" t="s">
        <v>67</v>
      </c>
      <c r="D50" s="20" t="s">
        <v>65</v>
      </c>
      <c r="E50" s="32">
        <f>(D3*Percapita!D21)</f>
        <v>2.04</v>
      </c>
      <c r="F50" s="32">
        <f>+Percapita!F21</f>
        <v>400</v>
      </c>
      <c r="G50" s="32">
        <f t="shared" si="2"/>
        <v>816</v>
      </c>
    </row>
    <row r="51" ht="15.6" spans="3:7">
      <c r="C51" t="s">
        <v>68</v>
      </c>
      <c r="D51" s="20" t="s">
        <v>49</v>
      </c>
      <c r="E51" s="32">
        <f>(D3*Percapita!D16)/1000</f>
        <v>3.825</v>
      </c>
      <c r="F51" s="32">
        <f>+Percapita!F16</f>
        <v>200</v>
      </c>
      <c r="G51" s="32">
        <f t="shared" si="2"/>
        <v>765</v>
      </c>
    </row>
    <row r="52" ht="15.6" spans="3:7">
      <c r="C52" t="s">
        <v>69</v>
      </c>
      <c r="D52" s="20" t="s">
        <v>49</v>
      </c>
      <c r="E52" s="32">
        <f>(D3*Percapita!D17)/1000</f>
        <v>15.3</v>
      </c>
      <c r="F52" s="32">
        <f>+Percapita!F17</f>
        <v>220</v>
      </c>
      <c r="G52" s="32">
        <f t="shared" si="2"/>
        <v>3366</v>
      </c>
    </row>
    <row r="53" ht="15.6" spans="3:7">
      <c r="C53" t="s">
        <v>66</v>
      </c>
      <c r="D53" s="20" t="s">
        <v>49</v>
      </c>
      <c r="E53" s="32">
        <f>((Percapita!D8*'Weekly Meal Planner'!D3)/1000)*4</f>
        <v>15.3</v>
      </c>
      <c r="F53" s="32">
        <f>+Percapita!F12</f>
        <v>400</v>
      </c>
      <c r="G53" s="32">
        <f t="shared" si="2"/>
        <v>6120</v>
      </c>
    </row>
    <row r="54" ht="15.6" spans="3:7">
      <c r="C54" t="s">
        <v>70</v>
      </c>
      <c r="D54" s="20" t="s">
        <v>49</v>
      </c>
      <c r="E54" s="32">
        <f>(D3*Percapita!D19)/1000</f>
        <v>0.0765</v>
      </c>
      <c r="F54" s="32">
        <f>+Percapita!F19</f>
        <v>1000</v>
      </c>
      <c r="G54" s="32">
        <f t="shared" si="2"/>
        <v>76.5</v>
      </c>
    </row>
    <row r="55" ht="15.6" spans="5:7">
      <c r="E55" s="32"/>
      <c r="F55" s="32"/>
      <c r="G55" s="32"/>
    </row>
    <row r="56" ht="15.6" spans="2:7">
      <c r="B56" t="s">
        <v>27</v>
      </c>
      <c r="C56" t="s">
        <v>48</v>
      </c>
      <c r="D56" s="20" t="s">
        <v>49</v>
      </c>
      <c r="E56" s="32">
        <f>(D3*Percapita!D7)/1000</f>
        <v>30.6</v>
      </c>
      <c r="F56" s="32">
        <f>+Percapita!F7</f>
        <v>140</v>
      </c>
      <c r="G56" s="32">
        <f t="shared" si="2"/>
        <v>4284</v>
      </c>
    </row>
    <row r="57" ht="15.6" spans="3:7">
      <c r="C57" t="s">
        <v>71</v>
      </c>
      <c r="D57" s="20" t="s">
        <v>49</v>
      </c>
      <c r="E57" s="32">
        <f>+(D3*Percapita!D28)/1000</f>
        <v>11.475</v>
      </c>
      <c r="F57" s="32">
        <f>+Percapita!F28</f>
        <v>180</v>
      </c>
      <c r="G57" s="32">
        <f t="shared" si="2"/>
        <v>2065.5</v>
      </c>
    </row>
    <row r="58" ht="15.6" spans="3:7">
      <c r="C58" t="s">
        <v>50</v>
      </c>
      <c r="D58" s="20" t="s">
        <v>49</v>
      </c>
      <c r="E58" s="32">
        <f>+(D3*Percapita!D14)/1000</f>
        <v>15.3</v>
      </c>
      <c r="F58" s="32">
        <f>+Percapita!F14</f>
        <v>120</v>
      </c>
      <c r="G58" s="32">
        <f t="shared" si="2"/>
        <v>1836</v>
      </c>
    </row>
    <row r="59" ht="15.6" spans="3:7">
      <c r="C59" t="s">
        <v>51</v>
      </c>
      <c r="D59" s="20" t="s">
        <v>49</v>
      </c>
      <c r="E59" s="32">
        <f>(D3*Percapita!D13)/1000</f>
        <v>25.5</v>
      </c>
      <c r="F59" s="32">
        <f>+Percapita!F13</f>
        <v>120</v>
      </c>
      <c r="G59" s="32">
        <f t="shared" si="2"/>
        <v>3060</v>
      </c>
    </row>
    <row r="60" ht="15.6" spans="3:7">
      <c r="C60" t="s">
        <v>54</v>
      </c>
      <c r="D60" s="20" t="s">
        <v>55</v>
      </c>
      <c r="E60" s="32">
        <f>((D3*Percapita!D11)/1000)*4</f>
        <v>15.3</v>
      </c>
      <c r="F60" s="32">
        <f>+Percapita!F11</f>
        <v>340</v>
      </c>
      <c r="G60" s="32">
        <f t="shared" si="2"/>
        <v>5202</v>
      </c>
    </row>
    <row r="61" ht="15.6" spans="3:7">
      <c r="C61" t="s">
        <v>56</v>
      </c>
      <c r="D61" s="20" t="s">
        <v>49</v>
      </c>
      <c r="E61" s="32">
        <f>((D3*Percapita!D8)/1000)*4</f>
        <v>15.3</v>
      </c>
      <c r="F61" s="32">
        <f>+Percapita!F8</f>
        <v>100</v>
      </c>
      <c r="G61" s="32">
        <f t="shared" si="2"/>
        <v>1530</v>
      </c>
    </row>
    <row r="62" ht="15.6" spans="3:7">
      <c r="C62" t="s">
        <v>57</v>
      </c>
      <c r="D62" s="20" t="s">
        <v>49</v>
      </c>
      <c r="E62" s="32">
        <f>((D3*Percapita!D20)/1000)*4</f>
        <v>0.306</v>
      </c>
      <c r="F62" s="32">
        <f>+Percapita!F20</f>
        <v>50</v>
      </c>
      <c r="G62" s="32">
        <f t="shared" si="2"/>
        <v>15.3</v>
      </c>
    </row>
    <row r="63" ht="15.6" spans="3:7">
      <c r="C63" t="s">
        <v>58</v>
      </c>
      <c r="D63" s="20" t="s">
        <v>49</v>
      </c>
      <c r="E63" s="32">
        <f>(D3*Percapita!D15)/1000</f>
        <v>2.295</v>
      </c>
      <c r="F63" s="32">
        <f>+Percapita!F15</f>
        <v>160</v>
      </c>
      <c r="G63" s="32">
        <f t="shared" si="2"/>
        <v>367.2</v>
      </c>
    </row>
    <row r="64" ht="15.6" spans="3:7">
      <c r="C64" t="s">
        <v>59</v>
      </c>
      <c r="D64" s="20" t="s">
        <v>72</v>
      </c>
      <c r="E64" s="32">
        <f>(D3*Percapita!D26)</f>
        <v>1.224</v>
      </c>
      <c r="F64" s="32">
        <f>+Percapita!F26</f>
        <v>35</v>
      </c>
      <c r="G64" s="32">
        <f t="shared" si="2"/>
        <v>42.84</v>
      </c>
    </row>
    <row r="65" ht="15.6" spans="3:7">
      <c r="C65" t="s">
        <v>73</v>
      </c>
      <c r="D65" s="20" t="s">
        <v>49</v>
      </c>
      <c r="E65" s="32">
        <f>(D3*Percapita!D18)/1000</f>
        <v>1.9125</v>
      </c>
      <c r="F65" s="32">
        <f>+Percapita!F18</f>
        <v>270</v>
      </c>
      <c r="G65" s="32">
        <f t="shared" si="2"/>
        <v>516.375</v>
      </c>
    </row>
    <row r="66" ht="15.6" spans="3:7">
      <c r="C66" t="s">
        <v>64</v>
      </c>
      <c r="D66" s="20" t="s">
        <v>65</v>
      </c>
      <c r="E66" s="32"/>
      <c r="F66" s="32"/>
      <c r="G66" s="32">
        <f t="shared" si="2"/>
        <v>0</v>
      </c>
    </row>
    <row r="67" ht="15.6" spans="3:7">
      <c r="C67" t="s">
        <v>74</v>
      </c>
      <c r="D67" s="20" t="s">
        <v>49</v>
      </c>
      <c r="E67" s="32">
        <f>(D3*Percapita!D5)/1000</f>
        <v>19.125</v>
      </c>
      <c r="F67" s="32">
        <f>+Percapita!F5*2</f>
        <v>180</v>
      </c>
      <c r="G67" s="32">
        <f t="shared" si="2"/>
        <v>3442.5</v>
      </c>
    </row>
    <row r="68" ht="15.6" spans="3:7">
      <c r="C68" t="s">
        <v>75</v>
      </c>
      <c r="D68" s="20" t="s">
        <v>49</v>
      </c>
      <c r="E68" s="32">
        <f>(D3*Percapita!D9)/1000</f>
        <v>5.355</v>
      </c>
      <c r="F68" s="32">
        <f>+Percapita!F9</f>
        <v>65</v>
      </c>
      <c r="G68" s="32">
        <f t="shared" si="2"/>
        <v>348.075</v>
      </c>
    </row>
    <row r="69" ht="15.6" spans="3:7">
      <c r="C69" t="s">
        <v>62</v>
      </c>
      <c r="D69" s="20" t="s">
        <v>49</v>
      </c>
      <c r="E69" s="32">
        <f>((D3*Percapita!D10)/1000)*2</f>
        <v>3.825</v>
      </c>
      <c r="F69" s="32">
        <f>+Percapita!F10</f>
        <v>680</v>
      </c>
      <c r="G69" s="32">
        <f t="shared" si="2"/>
        <v>2601</v>
      </c>
    </row>
    <row r="70" ht="15.6" spans="5:7">
      <c r="E70" s="32"/>
      <c r="F70" s="32"/>
      <c r="G70" s="32"/>
    </row>
    <row r="71" ht="15.6" spans="5:7">
      <c r="E71" s="32"/>
      <c r="F71" s="32"/>
      <c r="G71" s="32"/>
    </row>
    <row r="72" ht="15.6" spans="2:7">
      <c r="B72" t="s">
        <v>31</v>
      </c>
      <c r="E72" s="32"/>
      <c r="F72" s="32"/>
      <c r="G72" s="32"/>
    </row>
    <row r="73" ht="15.6" spans="3:7">
      <c r="C73" t="s">
        <v>76</v>
      </c>
      <c r="D73" s="20" t="s">
        <v>49</v>
      </c>
      <c r="E73" s="32">
        <f>(D3*Percapita!D29)/1000</f>
        <v>22.95</v>
      </c>
      <c r="F73" s="32">
        <f>Percapita!F29</f>
        <v>325</v>
      </c>
      <c r="G73" s="32">
        <f t="shared" ref="G73:G108" si="3">E73*F73</f>
        <v>7458.75</v>
      </c>
    </row>
    <row r="74" ht="15.6" spans="3:7">
      <c r="C74" t="s">
        <v>50</v>
      </c>
      <c r="D74" s="20" t="s">
        <v>49</v>
      </c>
      <c r="E74" s="32">
        <f>(D3*Percapita!D14)/1000</f>
        <v>15.3</v>
      </c>
      <c r="F74" s="32">
        <f>+Percapita!F14</f>
        <v>120</v>
      </c>
      <c r="G74" s="32">
        <f t="shared" si="3"/>
        <v>1836</v>
      </c>
    </row>
    <row r="75" ht="15.6" spans="3:7">
      <c r="C75" t="s">
        <v>51</v>
      </c>
      <c r="D75" s="20" t="s">
        <v>49</v>
      </c>
      <c r="E75" s="32">
        <f>((D3*Percapita!D13)/1000)*2</f>
        <v>51</v>
      </c>
      <c r="F75" s="32">
        <f>Percapita!F13</f>
        <v>120</v>
      </c>
      <c r="G75" s="32">
        <f t="shared" si="3"/>
        <v>6120</v>
      </c>
    </row>
    <row r="76" ht="15.6" spans="3:7">
      <c r="C76" t="s">
        <v>54</v>
      </c>
      <c r="D76" s="20" t="s">
        <v>55</v>
      </c>
      <c r="E76" s="32">
        <f>((D3*Percapita!D11)/1000)*4</f>
        <v>15.3</v>
      </c>
      <c r="F76" s="32">
        <f>Percapita!F11</f>
        <v>340</v>
      </c>
      <c r="G76" s="32">
        <f t="shared" si="3"/>
        <v>5202</v>
      </c>
    </row>
    <row r="77" ht="15.6" spans="3:7">
      <c r="C77" t="s">
        <v>56</v>
      </c>
      <c r="D77" s="20" t="s">
        <v>49</v>
      </c>
      <c r="E77" s="32">
        <f>((Percapita!D8*'Weekly Meal Planner'!D3)/1000)*4</f>
        <v>15.3</v>
      </c>
      <c r="F77" s="32">
        <f>Percapita!F8</f>
        <v>100</v>
      </c>
      <c r="G77" s="32">
        <f t="shared" si="3"/>
        <v>1530</v>
      </c>
    </row>
    <row r="78" ht="15.6" spans="3:7">
      <c r="C78" t="s">
        <v>57</v>
      </c>
      <c r="D78" s="20" t="s">
        <v>49</v>
      </c>
      <c r="E78" s="32">
        <f>((D3*Percapita!D20)/1000)*4</f>
        <v>0.306</v>
      </c>
      <c r="F78" s="32">
        <f>Percapita!F20</f>
        <v>50</v>
      </c>
      <c r="G78" s="32">
        <f t="shared" si="3"/>
        <v>15.3</v>
      </c>
    </row>
    <row r="79" ht="15.6" spans="3:7">
      <c r="C79" t="s">
        <v>58</v>
      </c>
      <c r="D79" s="20" t="s">
        <v>49</v>
      </c>
      <c r="E79" s="32">
        <f>(D3*Percapita!D15)/1000</f>
        <v>2.295</v>
      </c>
      <c r="F79" s="32">
        <f>Percapita!F15</f>
        <v>160</v>
      </c>
      <c r="G79" s="32">
        <f t="shared" si="3"/>
        <v>367.2</v>
      </c>
    </row>
    <row r="80" ht="15.6" spans="3:7">
      <c r="C80" t="s">
        <v>59</v>
      </c>
      <c r="D80" s="20" t="s">
        <v>72</v>
      </c>
      <c r="E80" s="32">
        <f>(D3*Percapita!D26)</f>
        <v>1.224</v>
      </c>
      <c r="F80" s="32">
        <f>Percapita!F26</f>
        <v>35</v>
      </c>
      <c r="G80" s="32">
        <f t="shared" si="3"/>
        <v>42.84</v>
      </c>
    </row>
    <row r="81" ht="15.6" spans="3:7">
      <c r="C81" t="s">
        <v>77</v>
      </c>
      <c r="D81" s="20" t="s">
        <v>49</v>
      </c>
      <c r="E81" s="32">
        <f>(D3*Percapita!F30)/1000</f>
        <v>45.9</v>
      </c>
      <c r="F81" s="32">
        <f>Percapita!F30</f>
        <v>300</v>
      </c>
      <c r="G81" s="32">
        <f t="shared" si="3"/>
        <v>13770</v>
      </c>
    </row>
    <row r="82" ht="15.6" spans="3:7">
      <c r="C82" t="s">
        <v>64</v>
      </c>
      <c r="D82" s="20" t="s">
        <v>49</v>
      </c>
      <c r="E82" s="32"/>
      <c r="F82" s="32">
        <v>0</v>
      </c>
      <c r="G82" s="32">
        <f t="shared" si="3"/>
        <v>0</v>
      </c>
    </row>
    <row r="83" ht="15.6" spans="3:7">
      <c r="C83" t="s">
        <v>63</v>
      </c>
      <c r="D83" s="20" t="s">
        <v>49</v>
      </c>
      <c r="E83" s="32">
        <f>(D3*Percapita!D23)/1000</f>
        <v>15.3</v>
      </c>
      <c r="F83" s="32">
        <f>Percapita!F23</f>
        <v>50</v>
      </c>
      <c r="G83" s="32">
        <f t="shared" si="3"/>
        <v>765</v>
      </c>
    </row>
    <row r="84" ht="15.6" spans="3:7">
      <c r="C84" t="s">
        <v>62</v>
      </c>
      <c r="D84" s="20" t="s">
        <v>49</v>
      </c>
      <c r="E84" s="32">
        <f>((D3*Percapita!D10)/1000)*2</f>
        <v>3.825</v>
      </c>
      <c r="F84" s="32">
        <f>Percapita!F23</f>
        <v>50</v>
      </c>
      <c r="G84" s="32">
        <f t="shared" si="3"/>
        <v>191.25</v>
      </c>
    </row>
    <row r="85" ht="15.6" spans="3:7">
      <c r="C85" t="s">
        <v>78</v>
      </c>
      <c r="D85" s="20" t="s">
        <v>49</v>
      </c>
      <c r="E85" s="32">
        <f>(D3*Percapita!D4)/1000</f>
        <v>30.6</v>
      </c>
      <c r="F85" s="32">
        <f>Percapita!F4</f>
        <v>1200</v>
      </c>
      <c r="G85" s="32">
        <f t="shared" si="3"/>
        <v>36720</v>
      </c>
    </row>
    <row r="86" ht="15.6" spans="3:7">
      <c r="C86" t="s">
        <v>66</v>
      </c>
      <c r="D86" s="20" t="s">
        <v>49</v>
      </c>
      <c r="E86" s="32">
        <f>((D3*Percapita!D12)/1000)*2</f>
        <v>1.36</v>
      </c>
      <c r="F86" s="32">
        <f>Percapita!F12</f>
        <v>400</v>
      </c>
      <c r="G86" s="32">
        <f t="shared" si="3"/>
        <v>544</v>
      </c>
    </row>
    <row r="87" ht="15.6" spans="5:7">
      <c r="E87" s="32"/>
      <c r="F87" s="32"/>
      <c r="G87" s="32"/>
    </row>
    <row r="88" ht="15.6" spans="2:7">
      <c r="B88" t="s">
        <v>35</v>
      </c>
      <c r="C88" t="s">
        <v>74</v>
      </c>
      <c r="D88" s="20" t="s">
        <v>49</v>
      </c>
      <c r="E88" s="32">
        <f>(D3*Percapita!D5)/1000</f>
        <v>19.125</v>
      </c>
      <c r="F88" s="32">
        <f>Percapita!F5</f>
        <v>90</v>
      </c>
      <c r="G88" s="32">
        <f t="shared" si="3"/>
        <v>1721.25</v>
      </c>
    </row>
    <row r="89" ht="15.6" spans="3:7">
      <c r="C89" t="s">
        <v>67</v>
      </c>
      <c r="D89" s="20" t="s">
        <v>65</v>
      </c>
      <c r="E89" s="32">
        <f>((D3*Percapita!D21)*2)</f>
        <v>4.08</v>
      </c>
      <c r="F89" s="32">
        <f>Percapita!F21</f>
        <v>400</v>
      </c>
      <c r="G89" s="32">
        <f t="shared" si="3"/>
        <v>1632</v>
      </c>
    </row>
    <row r="90" ht="15.6" spans="3:7">
      <c r="C90" t="s">
        <v>79</v>
      </c>
      <c r="D90" s="20" t="s">
        <v>49</v>
      </c>
      <c r="E90" s="32">
        <f>(D3*Percapita!D25)/1000</f>
        <v>3.825</v>
      </c>
      <c r="F90" s="32">
        <f>Percapita!F25</f>
        <v>60</v>
      </c>
      <c r="G90" s="32">
        <f t="shared" si="3"/>
        <v>229.5</v>
      </c>
    </row>
    <row r="91" ht="15.6" spans="3:7">
      <c r="C91" t="s">
        <v>69</v>
      </c>
      <c r="D91" s="20" t="s">
        <v>49</v>
      </c>
      <c r="E91" s="32">
        <f>(D3*Percapita!D17)/1000</f>
        <v>15.3</v>
      </c>
      <c r="F91" s="32">
        <f>Percapita!F17</f>
        <v>220</v>
      </c>
      <c r="G91" s="32">
        <f t="shared" si="3"/>
        <v>3366</v>
      </c>
    </row>
    <row r="92" ht="15.6" spans="3:7">
      <c r="C92" t="s">
        <v>48</v>
      </c>
      <c r="D92" s="20" t="s">
        <v>49</v>
      </c>
      <c r="E92" s="32">
        <f>(D3*Percapita!D7)/1000</f>
        <v>30.6</v>
      </c>
      <c r="F92" s="32">
        <f>Percapita!F7</f>
        <v>140</v>
      </c>
      <c r="G92" s="32">
        <f t="shared" si="3"/>
        <v>4284</v>
      </c>
    </row>
    <row r="93" ht="15.6" spans="3:7">
      <c r="C93" t="s">
        <v>63</v>
      </c>
      <c r="D93" s="20" t="s">
        <v>49</v>
      </c>
      <c r="E93" s="32">
        <f>(D3*Percapita!D23)/1000</f>
        <v>15.3</v>
      </c>
      <c r="F93" s="32">
        <f>Percapita!F23</f>
        <v>50</v>
      </c>
      <c r="G93" s="32">
        <f t="shared" si="3"/>
        <v>765</v>
      </c>
    </row>
    <row r="94" ht="15.6" spans="3:7">
      <c r="C94" t="s">
        <v>80</v>
      </c>
      <c r="D94" s="20" t="s">
        <v>49</v>
      </c>
      <c r="E94" s="32">
        <f>((D3*Percapita!D14)/1000)*2</f>
        <v>30.6</v>
      </c>
      <c r="F94" s="32">
        <f>Percapita!F14</f>
        <v>120</v>
      </c>
      <c r="G94" s="32">
        <f t="shared" si="3"/>
        <v>3672</v>
      </c>
    </row>
    <row r="95" ht="15.6" spans="3:7">
      <c r="C95" t="s">
        <v>66</v>
      </c>
      <c r="D95" s="20" t="s">
        <v>49</v>
      </c>
      <c r="E95" s="32">
        <f>(D3*Percapita!D12)/1000</f>
        <v>0.68</v>
      </c>
      <c r="F95" s="32">
        <f>Percapita!F12</f>
        <v>400</v>
      </c>
      <c r="G95" s="32">
        <f t="shared" si="3"/>
        <v>272</v>
      </c>
    </row>
    <row r="96" ht="15.6" spans="3:7">
      <c r="C96" t="s">
        <v>59</v>
      </c>
      <c r="D96" s="20" t="s">
        <v>72</v>
      </c>
      <c r="E96" s="32">
        <f>(D3*Percapita!D26)</f>
        <v>1.224</v>
      </c>
      <c r="F96" s="32">
        <f>Percapita!F26</f>
        <v>35</v>
      </c>
      <c r="G96" s="32">
        <f t="shared" si="3"/>
        <v>42.84</v>
      </c>
    </row>
    <row r="97" ht="15.6" spans="5:7">
      <c r="E97" s="32"/>
      <c r="F97" s="32"/>
      <c r="G97" s="32"/>
    </row>
    <row r="98" ht="15.6" spans="2:7">
      <c r="B98" t="s">
        <v>39</v>
      </c>
      <c r="C98" t="s">
        <v>75</v>
      </c>
      <c r="D98" s="20" t="s">
        <v>49</v>
      </c>
      <c r="E98" s="32">
        <f>(D3*Percapita!D9)/1000</f>
        <v>5.355</v>
      </c>
      <c r="F98" s="32">
        <f>Percapita!F9</f>
        <v>65</v>
      </c>
      <c r="G98" s="32">
        <f t="shared" si="3"/>
        <v>348.075</v>
      </c>
    </row>
    <row r="99" ht="15.6" spans="3:7">
      <c r="C99" t="s">
        <v>54</v>
      </c>
      <c r="D99" s="20" t="s">
        <v>55</v>
      </c>
      <c r="E99" s="32">
        <f>((D3*Percapita!D11)/1000)*4</f>
        <v>15.3</v>
      </c>
      <c r="F99" s="32">
        <f>Percapita!F11</f>
        <v>340</v>
      </c>
      <c r="G99" s="32">
        <f t="shared" si="3"/>
        <v>5202</v>
      </c>
    </row>
    <row r="100" ht="15.6" spans="3:7">
      <c r="C100" t="s">
        <v>56</v>
      </c>
      <c r="D100" s="20" t="s">
        <v>49</v>
      </c>
      <c r="E100" s="32">
        <f>((D3*Percapita!D8)/1000)*4</f>
        <v>15.3</v>
      </c>
      <c r="F100" s="32">
        <f>Percapita!F8</f>
        <v>100</v>
      </c>
      <c r="G100" s="32">
        <f t="shared" si="3"/>
        <v>1530</v>
      </c>
    </row>
    <row r="101" ht="15.6" spans="3:7">
      <c r="C101" t="s">
        <v>57</v>
      </c>
      <c r="D101" s="20" t="s">
        <v>49</v>
      </c>
      <c r="E101" s="32">
        <f>((D3*Percapita!D20)/1000)*4</f>
        <v>0.306</v>
      </c>
      <c r="F101" s="32">
        <f>Percapita!F20</f>
        <v>50</v>
      </c>
      <c r="G101" s="32">
        <f t="shared" si="3"/>
        <v>15.3</v>
      </c>
    </row>
    <row r="102" ht="15.6" spans="3:7">
      <c r="C102" t="s">
        <v>66</v>
      </c>
      <c r="D102" s="20" t="s">
        <v>49</v>
      </c>
      <c r="E102" s="32">
        <f>((D3*Percapita!D8)/1000)*2</f>
        <v>7.65</v>
      </c>
      <c r="F102" s="32">
        <f>Percapita!F12</f>
        <v>400</v>
      </c>
      <c r="G102" s="32">
        <f t="shared" si="3"/>
        <v>3060</v>
      </c>
    </row>
    <row r="103" ht="15.6" spans="3:7">
      <c r="C103" t="s">
        <v>80</v>
      </c>
      <c r="D103" s="20" t="s">
        <v>49</v>
      </c>
      <c r="E103" s="32">
        <f>((D3*Percapita!D14)/1000)*2</f>
        <v>30.6</v>
      </c>
      <c r="F103" s="32">
        <f>Percapita!F14</f>
        <v>120</v>
      </c>
      <c r="G103" s="32">
        <f t="shared" si="3"/>
        <v>3672</v>
      </c>
    </row>
    <row r="104" ht="15.6" spans="3:7">
      <c r="C104" t="s">
        <v>81</v>
      </c>
      <c r="D104" s="20" t="s">
        <v>49</v>
      </c>
      <c r="E104" s="32">
        <f>(D3*Percapita!D13)/1000</f>
        <v>25.5</v>
      </c>
      <c r="F104" s="32">
        <f>Percapita!F13</f>
        <v>120</v>
      </c>
      <c r="G104" s="32">
        <f t="shared" si="3"/>
        <v>3060</v>
      </c>
    </row>
    <row r="105" ht="15.6" spans="3:7">
      <c r="C105" t="s">
        <v>59</v>
      </c>
      <c r="D105" s="20" t="s">
        <v>72</v>
      </c>
      <c r="E105" s="32">
        <f>(D3*Percapita!D26)</f>
        <v>1.224</v>
      </c>
      <c r="F105" s="32">
        <f>Percapita!F26</f>
        <v>35</v>
      </c>
      <c r="G105" s="32">
        <f t="shared" si="3"/>
        <v>42.84</v>
      </c>
    </row>
    <row r="106" ht="15.6" spans="3:7">
      <c r="C106" t="s">
        <v>77</v>
      </c>
      <c r="D106" s="20" t="s">
        <v>49</v>
      </c>
      <c r="E106" s="32">
        <f>(D3*Percapita!D30)/1000</f>
        <v>3.06</v>
      </c>
      <c r="F106" s="32">
        <f>Percapita!F30</f>
        <v>300</v>
      </c>
      <c r="G106" s="32">
        <f t="shared" si="3"/>
        <v>918</v>
      </c>
    </row>
    <row r="107" ht="15.6" spans="3:7">
      <c r="C107" t="s">
        <v>82</v>
      </c>
      <c r="D107" s="20" t="s">
        <v>49</v>
      </c>
      <c r="E107" s="32">
        <f>(D3*Percapita!D24)/1000</f>
        <v>7.65</v>
      </c>
      <c r="F107" s="32">
        <f>Percapita!F24</f>
        <v>50</v>
      </c>
      <c r="G107" s="32">
        <f t="shared" si="3"/>
        <v>382.5</v>
      </c>
    </row>
    <row r="108" ht="15.6" spans="3:7">
      <c r="C108" t="s">
        <v>83</v>
      </c>
      <c r="D108" s="20" t="s">
        <v>49</v>
      </c>
      <c r="E108" s="32">
        <f>(D3*Percapita!D6)/1000</f>
        <v>51</v>
      </c>
      <c r="F108" s="32">
        <f>Percapita!F6</f>
        <v>140</v>
      </c>
      <c r="G108" s="32">
        <f t="shared" si="3"/>
        <v>7140</v>
      </c>
    </row>
    <row r="109" ht="15.6" spans="5:7">
      <c r="E109" s="32"/>
      <c r="F109" s="32"/>
      <c r="G109" s="32"/>
    </row>
    <row r="110" ht="15.6" spans="5:7">
      <c r="E110" s="32"/>
      <c r="F110" s="32"/>
      <c r="G110" s="32"/>
    </row>
    <row r="111" customHeight="1" spans="5:7">
      <c r="E111" s="32"/>
      <c r="F111" s="32"/>
      <c r="G111" s="32"/>
    </row>
    <row r="112" customHeight="1" spans="5:7">
      <c r="E112" s="32"/>
      <c r="F112" s="32"/>
      <c r="G112" s="32"/>
    </row>
    <row r="113" customHeight="1" spans="5:7">
      <c r="E113" s="32"/>
      <c r="F113" s="32"/>
      <c r="G113" s="32"/>
    </row>
    <row r="114" customHeight="1" spans="5:7">
      <c r="E114" s="32"/>
      <c r="F114" s="32"/>
      <c r="G114" s="32"/>
    </row>
    <row r="115" customHeight="1" spans="5:7">
      <c r="E115" s="32"/>
      <c r="F115" s="32"/>
      <c r="G115" s="32"/>
    </row>
  </sheetData>
  <mergeCells count="2">
    <mergeCell ref="B1:I1"/>
    <mergeCell ref="B2:I2"/>
  </mergeCells>
  <dataValidations count="8">
    <dataValidation allowBlank="1" showInputMessage="1" showErrorMessage="1" prompt="Create Weekly Meal Planner in this worksheet" sqref="A2"/>
    <dataValidation allowBlank="1" showInputMessage="1" showErrorMessage="1" prompt="Title of this worksheet is in this cell" sqref="B2"/>
    <dataValidation allowBlank="1" showInputMessage="1" showErrorMessage="1" prompt="Enter Date in this cell" sqref="B3"/>
    <dataValidation allowBlank="1" showInputMessage="1" showErrorMessage="1" prompt="Enter Weekdays in this column under this heading. Use heading filters to find specific entries" sqref="B4"/>
    <dataValidation allowBlank="1" showInputMessage="1" showErrorMessage="1" prompt="Enter Breakfast item in this column under this heading" sqref="C4:D4"/>
    <dataValidation allowBlank="1" showInputMessage="1" showErrorMessage="1" prompt="Enter Lunch item in this column under this heading" sqref="E4:F4"/>
    <dataValidation allowBlank="1" showInputMessage="1" showErrorMessage="1" prompt="Enter Dinner item in this column under this heading" sqref="G4:H4"/>
    <dataValidation allowBlank="1" showInputMessage="1" showErrorMessage="1" prompt="Enter third Snack item in this column under this heading" sqref="I4"/>
  </dataValidations>
  <printOptions horizontalCentered="1"/>
  <pageMargins left="0.6" right="0.6" top="0.6" bottom="0.75" header="0.5" footer="0.5"/>
  <pageSetup paperSize="1" scale="70" fitToHeight="0" orientation="landscape"/>
  <headerFooter differentFirs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showGridLines="0" topLeftCell="A4" workbookViewId="0">
      <selection activeCell="D31" sqref="D31"/>
    </sheetView>
  </sheetViews>
  <sheetFormatPr defaultColWidth="9" defaultRowHeight="15.6" outlineLevelCol="7"/>
  <cols>
    <col min="1" max="1" width="3.39583333333333" style="2" customWidth="1"/>
    <col min="2" max="2" width="8.70138888888889" style="2" customWidth="1"/>
    <col min="3" max="3" width="6.5" style="2" customWidth="1"/>
    <col min="4" max="4" width="12" style="3" customWidth="1"/>
    <col min="5" max="5" width="6" style="1" customWidth="1"/>
    <col min="6" max="6" width="6.79861111111111" style="2" customWidth="1"/>
    <col min="7" max="16384" width="8.79861111111111" style="2"/>
  </cols>
  <sheetData>
    <row r="1" ht="27" customHeight="1" spans="1:6">
      <c r="A1" s="4" t="s">
        <v>84</v>
      </c>
      <c r="B1" s="5"/>
      <c r="C1" s="5"/>
      <c r="D1" s="6"/>
      <c r="E1" s="7"/>
      <c r="F1" s="5"/>
    </row>
    <row r="2" s="1" customFormat="1" spans="1:6">
      <c r="A2" s="1" t="s">
        <v>85</v>
      </c>
      <c r="B2" s="1" t="s">
        <v>86</v>
      </c>
      <c r="C2" s="1" t="s">
        <v>87</v>
      </c>
      <c r="D2" s="8" t="s">
        <v>88</v>
      </c>
      <c r="E2" s="1" t="s">
        <v>89</v>
      </c>
      <c r="F2" s="1" t="s">
        <v>90</v>
      </c>
    </row>
    <row r="3" spans="1:6">
      <c r="A3" s="2">
        <v>1</v>
      </c>
      <c r="B3" s="2" t="s">
        <v>91</v>
      </c>
      <c r="C3" s="9" t="s">
        <v>92</v>
      </c>
      <c r="D3" s="10">
        <v>200</v>
      </c>
      <c r="E3" s="1" t="s">
        <v>93</v>
      </c>
      <c r="F3" s="2">
        <v>400</v>
      </c>
    </row>
    <row r="4" spans="1:6">
      <c r="A4" s="2">
        <v>2</v>
      </c>
      <c r="B4" s="2" t="s">
        <v>94</v>
      </c>
      <c r="C4" s="9" t="s">
        <v>92</v>
      </c>
      <c r="D4" s="10">
        <v>200</v>
      </c>
      <c r="E4" s="11" t="s">
        <v>93</v>
      </c>
      <c r="F4" s="2">
        <v>1200</v>
      </c>
    </row>
    <row r="5" spans="1:6">
      <c r="A5" s="2">
        <v>3</v>
      </c>
      <c r="B5" s="2" t="s">
        <v>95</v>
      </c>
      <c r="C5" s="9" t="s">
        <v>92</v>
      </c>
      <c r="D5" s="3">
        <f>500/4</f>
        <v>125</v>
      </c>
      <c r="E5" s="1" t="s">
        <v>96</v>
      </c>
      <c r="F5" s="2">
        <v>90</v>
      </c>
    </row>
    <row r="6" spans="1:6">
      <c r="A6" s="2">
        <v>4</v>
      </c>
      <c r="B6" s="2" t="s">
        <v>97</v>
      </c>
      <c r="C6" s="9" t="s">
        <v>92</v>
      </c>
      <c r="D6" s="3">
        <f>1000/3</f>
        <v>333.333333333333</v>
      </c>
      <c r="E6" s="1" t="s">
        <v>93</v>
      </c>
      <c r="F6" s="2">
        <v>140</v>
      </c>
    </row>
    <row r="7" spans="1:6">
      <c r="A7" s="2">
        <v>5</v>
      </c>
      <c r="B7" s="2" t="s">
        <v>98</v>
      </c>
      <c r="C7" s="9" t="s">
        <v>92</v>
      </c>
      <c r="D7" s="3">
        <f>1000/5</f>
        <v>200</v>
      </c>
      <c r="E7" s="1" t="s">
        <v>99</v>
      </c>
      <c r="F7" s="2">
        <v>140</v>
      </c>
    </row>
    <row r="8" spans="1:8">
      <c r="A8" s="2">
        <v>6</v>
      </c>
      <c r="B8" s="2" t="s">
        <v>100</v>
      </c>
      <c r="C8" s="9" t="s">
        <v>92</v>
      </c>
      <c r="D8" s="3">
        <v>25</v>
      </c>
      <c r="E8" s="1" t="s">
        <v>99</v>
      </c>
      <c r="F8" s="12">
        <v>100</v>
      </c>
      <c r="H8" s="2">
        <f>200/1000</f>
        <v>0.2</v>
      </c>
    </row>
    <row r="9" spans="1:6">
      <c r="A9" s="2">
        <v>7</v>
      </c>
      <c r="B9" s="2" t="s">
        <v>101</v>
      </c>
      <c r="C9" s="9" t="s">
        <v>92</v>
      </c>
      <c r="D9" s="3">
        <v>35</v>
      </c>
      <c r="E9" s="1" t="s">
        <v>99</v>
      </c>
      <c r="F9" s="2">
        <v>65</v>
      </c>
    </row>
    <row r="10" spans="1:6">
      <c r="A10" s="2">
        <v>8</v>
      </c>
      <c r="B10" s="2" t="s">
        <v>102</v>
      </c>
      <c r="C10" s="9" t="s">
        <v>92</v>
      </c>
      <c r="D10" s="3">
        <f>250/20</f>
        <v>12.5</v>
      </c>
      <c r="E10" s="1" t="s">
        <v>99</v>
      </c>
      <c r="F10" s="2">
        <f>170*4</f>
        <v>680</v>
      </c>
    </row>
    <row r="11" spans="1:6">
      <c r="A11" s="2">
        <v>9</v>
      </c>
      <c r="B11" s="2" t="s">
        <v>103</v>
      </c>
      <c r="C11" s="9" t="s">
        <v>104</v>
      </c>
      <c r="D11" s="3">
        <f>500/20</f>
        <v>25</v>
      </c>
      <c r="E11" s="1" t="s">
        <v>105</v>
      </c>
      <c r="F11" s="2">
        <f>1700/5</f>
        <v>340</v>
      </c>
    </row>
    <row r="12" spans="1:6">
      <c r="A12" s="2">
        <v>10</v>
      </c>
      <c r="B12" s="2" t="s">
        <v>106</v>
      </c>
      <c r="C12" s="9" t="s">
        <v>92</v>
      </c>
      <c r="D12" s="3">
        <f>8000/30/3/20</f>
        <v>4.44444444444444</v>
      </c>
      <c r="E12" s="1" t="s">
        <v>93</v>
      </c>
      <c r="F12" s="2">
        <v>400</v>
      </c>
    </row>
    <row r="13" spans="1:6">
      <c r="A13" s="2">
        <v>11</v>
      </c>
      <c r="B13" s="2" t="s">
        <v>107</v>
      </c>
      <c r="C13" s="9" t="s">
        <v>92</v>
      </c>
      <c r="D13" s="3">
        <f>1000/6</f>
        <v>166.666666666667</v>
      </c>
      <c r="E13" s="1" t="s">
        <v>93</v>
      </c>
      <c r="F13" s="2">
        <f>6000/50</f>
        <v>120</v>
      </c>
    </row>
    <row r="14" spans="1:6">
      <c r="A14" s="2">
        <v>12</v>
      </c>
      <c r="B14" s="2" t="s">
        <v>108</v>
      </c>
      <c r="C14" s="9" t="s">
        <v>92</v>
      </c>
      <c r="D14" s="3">
        <v>100</v>
      </c>
      <c r="E14" s="1" t="s">
        <v>93</v>
      </c>
      <c r="F14" s="2">
        <v>120</v>
      </c>
    </row>
    <row r="15" spans="1:6">
      <c r="A15" s="2">
        <v>13</v>
      </c>
      <c r="B15" s="2" t="s">
        <v>109</v>
      </c>
      <c r="C15" s="9" t="s">
        <v>92</v>
      </c>
      <c r="D15" s="3">
        <v>15</v>
      </c>
      <c r="E15" s="1" t="s">
        <v>93</v>
      </c>
      <c r="F15" s="2">
        <v>160</v>
      </c>
    </row>
    <row r="16" spans="1:6">
      <c r="A16" s="2">
        <v>14</v>
      </c>
      <c r="B16" s="2" t="s">
        <v>110</v>
      </c>
      <c r="C16" s="9" t="s">
        <v>92</v>
      </c>
      <c r="D16" s="3">
        <v>25</v>
      </c>
      <c r="E16" s="1" t="s">
        <v>93</v>
      </c>
      <c r="F16" s="2">
        <v>200</v>
      </c>
    </row>
    <row r="17" spans="1:6">
      <c r="A17" s="2">
        <v>15</v>
      </c>
      <c r="B17" s="2" t="s">
        <v>111</v>
      </c>
      <c r="C17" s="9" t="s">
        <v>92</v>
      </c>
      <c r="D17" s="3">
        <v>100</v>
      </c>
      <c r="E17" s="1" t="s">
        <v>93</v>
      </c>
      <c r="F17" s="2">
        <v>220</v>
      </c>
    </row>
    <row r="18" spans="1:6">
      <c r="A18" s="2">
        <v>16</v>
      </c>
      <c r="B18" s="2" t="s">
        <v>112</v>
      </c>
      <c r="C18" s="9" t="s">
        <v>92</v>
      </c>
      <c r="D18" s="3">
        <f>250/20</f>
        <v>12.5</v>
      </c>
      <c r="E18" s="1" t="s">
        <v>93</v>
      </c>
      <c r="F18" s="2">
        <v>270</v>
      </c>
    </row>
    <row r="19" spans="1:6">
      <c r="A19" s="2">
        <v>17</v>
      </c>
      <c r="B19" s="2" t="s">
        <v>113</v>
      </c>
      <c r="C19" s="9" t="s">
        <v>92</v>
      </c>
      <c r="D19" s="3">
        <v>0.5</v>
      </c>
      <c r="E19" s="1" t="s">
        <v>93</v>
      </c>
      <c r="F19" s="2">
        <f>4*250</f>
        <v>1000</v>
      </c>
    </row>
    <row r="20" spans="1:6">
      <c r="A20" s="2">
        <v>18</v>
      </c>
      <c r="B20" s="2" t="s">
        <v>114</v>
      </c>
      <c r="C20" s="9" t="s">
        <v>92</v>
      </c>
      <c r="D20" s="3">
        <v>0.5</v>
      </c>
      <c r="E20" s="1" t="s">
        <v>93</v>
      </c>
      <c r="F20" s="2">
        <v>50</v>
      </c>
    </row>
    <row r="21" spans="1:7">
      <c r="A21" s="2">
        <v>19</v>
      </c>
      <c r="B21" s="2" t="s">
        <v>115</v>
      </c>
      <c r="C21" s="9" t="s">
        <v>116</v>
      </c>
      <c r="D21" s="3">
        <f>2/150</f>
        <v>0.0133333333333333</v>
      </c>
      <c r="E21" s="9" t="s">
        <v>116</v>
      </c>
      <c r="F21" s="13">
        <v>400</v>
      </c>
      <c r="G21" s="12"/>
    </row>
    <row r="22" spans="1:6">
      <c r="A22" s="2">
        <v>20</v>
      </c>
      <c r="B22" s="2" t="s">
        <v>117</v>
      </c>
      <c r="C22" s="9" t="s">
        <v>92</v>
      </c>
      <c r="D22" s="3">
        <f>1000/10</f>
        <v>100</v>
      </c>
      <c r="E22" s="1" t="s">
        <v>93</v>
      </c>
      <c r="F22" s="13"/>
    </row>
    <row r="23" spans="1:6">
      <c r="A23" s="2">
        <v>21</v>
      </c>
      <c r="B23" s="2" t="s">
        <v>118</v>
      </c>
      <c r="C23" s="9" t="s">
        <v>92</v>
      </c>
      <c r="D23" s="3">
        <f>100</f>
        <v>100</v>
      </c>
      <c r="E23" s="1" t="s">
        <v>93</v>
      </c>
      <c r="F23" s="2">
        <v>50</v>
      </c>
    </row>
    <row r="24" spans="1:6">
      <c r="A24" s="2">
        <v>22</v>
      </c>
      <c r="B24" s="2" t="s">
        <v>119</v>
      </c>
      <c r="C24" s="9" t="s">
        <v>92</v>
      </c>
      <c r="D24" s="3">
        <v>50</v>
      </c>
      <c r="E24" s="1" t="s">
        <v>93</v>
      </c>
      <c r="F24" s="2">
        <v>50</v>
      </c>
    </row>
    <row r="25" spans="1:6">
      <c r="A25" s="2">
        <v>23</v>
      </c>
      <c r="B25" s="2" t="s">
        <v>120</v>
      </c>
      <c r="C25" s="9" t="s">
        <v>92</v>
      </c>
      <c r="D25" s="3">
        <v>25</v>
      </c>
      <c r="E25" s="1" t="s">
        <v>93</v>
      </c>
      <c r="F25" s="2">
        <v>60</v>
      </c>
    </row>
    <row r="26" spans="1:6">
      <c r="A26" s="2">
        <v>24</v>
      </c>
      <c r="B26" s="2" t="s">
        <v>121</v>
      </c>
      <c r="C26" s="9" t="s">
        <v>122</v>
      </c>
      <c r="D26" s="3">
        <f>1.2/150</f>
        <v>0.008</v>
      </c>
      <c r="E26" s="9" t="s">
        <v>122</v>
      </c>
      <c r="F26" s="2">
        <v>35</v>
      </c>
    </row>
    <row r="27" spans="1:5">
      <c r="A27" s="2">
        <v>25</v>
      </c>
      <c r="B27" s="2" t="s">
        <v>123</v>
      </c>
      <c r="C27" s="9" t="s">
        <v>124</v>
      </c>
      <c r="D27" s="14">
        <f>3/30/150</f>
        <v>0.000666666666666667</v>
      </c>
      <c r="E27" s="9" t="s">
        <v>124</v>
      </c>
    </row>
    <row r="28" spans="1:6">
      <c r="A28" s="2">
        <v>26</v>
      </c>
      <c r="B28" s="15" t="s">
        <v>125</v>
      </c>
      <c r="C28" s="16" t="s">
        <v>92</v>
      </c>
      <c r="D28" s="3">
        <v>75</v>
      </c>
      <c r="E28" s="16" t="s">
        <v>93</v>
      </c>
      <c r="F28" s="2">
        <v>180</v>
      </c>
    </row>
    <row r="29" spans="1:6">
      <c r="A29" s="2">
        <v>27</v>
      </c>
      <c r="B29" s="17" t="s">
        <v>126</v>
      </c>
      <c r="C29" s="16" t="s">
        <v>92</v>
      </c>
      <c r="D29" s="3">
        <v>150</v>
      </c>
      <c r="E29" s="16" t="s">
        <v>93</v>
      </c>
      <c r="F29" s="17">
        <v>325</v>
      </c>
    </row>
    <row r="30" spans="1:6">
      <c r="A30" s="2">
        <v>28</v>
      </c>
      <c r="B30" s="18" t="s">
        <v>127</v>
      </c>
      <c r="C30" s="16" t="s">
        <v>92</v>
      </c>
      <c r="D30" s="3">
        <v>20</v>
      </c>
      <c r="E30" s="16" t="s">
        <v>93</v>
      </c>
      <c r="F30" s="17">
        <v>300</v>
      </c>
    </row>
    <row r="33" spans="3:3">
      <c r="C33" s="9"/>
    </row>
  </sheetData>
  <pageMargins left="0.7" right="0.7" top="0.75" bottom="0.75" header="0.3" footer="0.3"/>
  <pageSetup paperSize="1" orientation="portrait" horizontalDpi="300" verticalDpi="300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B89B77B-11D2-43FE-A1AF-1524DCF2FCBF}">
  <ds:schemaRefs/>
</ds:datastoreItem>
</file>

<file path=customXml/itemProps2.xml><?xml version="1.0" encoding="utf-8"?>
<ds:datastoreItem xmlns:ds="http://schemas.openxmlformats.org/officeDocument/2006/customXml" ds:itemID="{6F7D7D5B-EFFC-4BFE-AD2D-C0E3DBE0A726}">
  <ds:schemaRefs/>
</ds:datastoreItem>
</file>

<file path=customXml/itemProps3.xml><?xml version="1.0" encoding="utf-8"?>
<ds:datastoreItem xmlns:ds="http://schemas.openxmlformats.org/officeDocument/2006/customXml" ds:itemID="{DE4692D4-8F00-4589-9561-6F1BD75135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TM16400197</Template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Weekly Meal Planner</vt:lpstr>
      <vt:lpstr>Percapita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Tarekegn</cp:lastModifiedBy>
  <cp:revision>1</cp:revision>
  <dcterms:created xsi:type="dcterms:W3CDTF">2022-11-09T08:05:00Z</dcterms:created>
  <dcterms:modified xsi:type="dcterms:W3CDTF">2025-08-15T13:56:53Z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  <property fmtid="{D5CDD505-2E9C-101B-9397-08002B2CF9AE}" pid="3" name="ICV">
    <vt:lpwstr>B7105D04F55B4D5F915DC55985D684CE_12</vt:lpwstr>
  </property>
  <property fmtid="{D5CDD505-2E9C-101B-9397-08002B2CF9AE}" pid="4" name="KSOProductBuildVer">
    <vt:lpwstr>1033-12.2.0.21931</vt:lpwstr>
  </property>
</Properties>
</file>